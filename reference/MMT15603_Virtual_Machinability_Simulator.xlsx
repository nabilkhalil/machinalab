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281cee12f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77aa5c8b4384d31"/>
    <x:sheet xmlns:r="http://schemas.openxmlformats.org/officeDocument/2006/relationships" name="INPUTS" sheetId="2" r:id="R5fb5431257b94de7"/>
    <x:sheet xmlns:r="http://schemas.openxmlformats.org/officeDocument/2006/relationships" name="9 TRIALS" sheetId="3" r:id="Rf5f25da1f18349e4"/>
    <x:sheet xmlns:r="http://schemas.openxmlformats.org/officeDocument/2006/relationships" name="SIMULATOR" sheetId="4" r:id="R6189723798154d87"/>
    <x:sheet xmlns:r="http://schemas.openxmlformats.org/officeDocument/2006/relationships" name="COST ANALYSIS" sheetId="5" r:id="R6520c8e43cc1499e"/>
    <x:sheet xmlns:r="http://schemas.openxmlformats.org/officeDocument/2006/relationships" name="DECISION MATRIX" sheetId="6" r:id="R115f184f8d274689"/>
    <x:sheet xmlns:r="http://schemas.openxmlformats.org/officeDocument/2006/relationships" name="GRAPHS" sheetId="7" r:id="R0f6aa8ca85004a8b"/>
    <x:sheet xmlns:r="http://schemas.openxmlformats.org/officeDocument/2006/relationships" name="STUDENT WORK" sheetId="8" r:id="Rb5ff97e718d64b21"/>
    <x:sheet xmlns:r="http://schemas.openxmlformats.org/officeDocument/2006/relationships" name="MODEL NOTES" sheetId="9" r:id="R5dca80fa0358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%"/>
    <x:numFmt numFmtId="203" formatCode="0.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E8B"/>
      </x:patternFill>
    </x:fill>
    <x:fill>
      <x:patternFill patternType="solid">
        <x:fgColor rgb="FFDCEE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5070ef6bf472e" /><Relationship Type="http://schemas.openxmlformats.org/officeDocument/2006/relationships/theme" Target="/xl/theme/theme1.xml" Id="R8c041143ec254ebe" /><Relationship Type="http://schemas.openxmlformats.org/officeDocument/2006/relationships/sharedStrings" Target="/xl/sharedStrings.xml" Id="R4ec071e5b319441c" /><Relationship Type="http://schemas.openxmlformats.org/officeDocument/2006/relationships/worksheet" Target="/xl/worksheets/sheet1.xml" Id="R177aa5c8b4384d31" /><Relationship Type="http://schemas.openxmlformats.org/officeDocument/2006/relationships/worksheet" Target="/xl/worksheets/sheet2.xml" Id="R5fb5431257b94de7" /><Relationship Type="http://schemas.openxmlformats.org/officeDocument/2006/relationships/worksheet" Target="/xl/worksheets/sheet3.xml" Id="Rf5f25da1f18349e4" /><Relationship Type="http://schemas.openxmlformats.org/officeDocument/2006/relationships/worksheet" Target="/xl/worksheets/sheet4.xml" Id="R6189723798154d87" /><Relationship Type="http://schemas.openxmlformats.org/officeDocument/2006/relationships/worksheet" Target="/xl/worksheets/sheet5.xml" Id="R6520c8e43cc1499e" /><Relationship Type="http://schemas.openxmlformats.org/officeDocument/2006/relationships/worksheet" Target="/xl/worksheets/sheet6.xml" Id="R115f184f8d274689" /><Relationship Type="http://schemas.openxmlformats.org/officeDocument/2006/relationships/worksheet" Target="/xl/worksheets/sheet7.xml" Id="R0f6aa8ca85004a8b" /><Relationship Type="http://schemas.openxmlformats.org/officeDocument/2006/relationships/worksheet" Target="/xl/worksheets/sheet8.xml" Id="Rb5ff97e718d64b21" /><Relationship Type="http://schemas.openxmlformats.org/officeDocument/2006/relationships/worksheet" Target="/xl/worksheets/sheet9.xml" Id="R5dca80fa03584a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07c11d83dc40b2" /><Relationship Type="http://schemas.openxmlformats.org/officeDocument/2006/relationships/chart" Target="/xl/drawings/charts/chart2.xml" Id="Rdd067f73c6034b92" /><Relationship Type="http://schemas.openxmlformats.org/officeDocument/2006/relationships/chart" Target="/xl/drawings/charts/chart3.xml" Id="R0e692d1a35494b29" /><Relationship Type="http://schemas.openxmlformats.org/officeDocument/2006/relationships/chart" Target="/xl/drawings/charts/chart4.xml" Id="Rc3db19097cec40c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Ideal surface roughness (um)</c:v>
          </c:tx>
          <c:cat>
            <c:strRef>
              <c:f>'9 TRIALS'!$A$5:$A$13</c:f>
              <c:strCache>
                <c:ptCount val="0"/>
              </c:strCache>
            </c:strRef>
          </c:cat>
          <c:val>
            <c:numRef>
              <c:f>'9 TRIALS'!$G$5:$G$13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Material removal rate (mm3/min)</c:v>
          </c:tx>
          <c:cat>
            <c:strRef>
              <c:f>'9 TRIALS'!$A$5:$A$13</c:f>
              <c:strCache>
                <c:ptCount val="0"/>
              </c:strCache>
            </c:strRef>
          </c:cat>
          <c:val>
            <c:numRef>
              <c:f>'9 TRIALS'!$F$5:$F$13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Machine input power (kW)</c:v>
          </c:tx>
          <c:cat>
            <c:strRef>
              <c:f>'9 TRIALS'!$A$5:$A$13</c:f>
              <c:strCache>
                <c:ptCount val="0"/>
              </c:strCache>
            </c:strRef>
          </c:cat>
          <c:val>
            <c:numRef>
              <c:f>'9 TRIALS'!$J$5:$J$13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Cost per component (RM)</c:v>
          </c:tx>
          <c:cat>
            <c:strRef>
              <c:f>'9 TRIALS'!$A$5:$A$13</c:f>
              <c:strCache>
                <c:ptCount val="0"/>
              </c:strCache>
            </c:strRef>
          </c:cat>
          <c:val>
            <c:numRef>
              <c:f>'9 TRIALS'!$M$5:$M$13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07c11d83dc40b2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067f73c6034b9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92d1a35494b29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db19097cec40c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d2ccb42aa77442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MMT15603 | VIRTUAL MACHINABILITY LAB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10" t="str">
        <x:v>STEP</x:v>
      </x:c>
      <x:c r="B3" s="10" t="str">
        <x:v>STUDENT ACTION</x:v>
      </x:c>
    </x:row>
    <x:row r="4">
      <x:c r="A4" t="str">
        <x:v>1</x:v>
      </x:c>
      <x:c r="B4" t="str">
        <x:v>Open INPUTS and edit BLUE cells only.</x:v>
      </x:c>
    </x:row>
    <x:row r="5">
      <x:c r="A5" t="str">
        <x:v>2</x:v>
      </x:c>
      <x:c r="B5" t="str">
        <x:v>Open SIMULATOR and change cutting speed and feed.</x:v>
      </x:c>
    </x:row>
    <x:row r="6">
      <x:c r="A6" t="str">
        <x:v>3</x:v>
      </x:c>
      <x:c r="B6" t="str">
        <x:v>Review all nine experiments in 9 TRIALS.</x:v>
      </x:c>
    </x:row>
    <x:row r="7">
      <x:c r="A7" t="str">
        <x:v>4</x:v>
      </x:c>
      <x:c r="B7" t="str">
        <x:v>Review calculated charts on GRAPHS.</x:v>
      </x:c>
    </x:row>
    <x:row r="8">
      <x:c r="A8" t="str">
        <x:v>5</x:v>
      </x:c>
      <x:c r="B8" t="str">
        <x:v>Review cost assumptions and COST ANALYSIS.</x:v>
      </x:c>
    </x:row>
    <x:row r="9">
      <x:c r="A9" t="str">
        <x:v>6</x:v>
      </x:c>
      <x:c r="B9" t="str">
        <x:v>Use DECISION MATRIX to compare feasible trials.</x:v>
      </x:c>
    </x:row>
    <x:row r="10">
      <x:c r="A10" t="str">
        <x:v>7</x:v>
      </x:c>
      <x:c r="B10" t="str">
        <x:v>Change the industrial scenario in INPUTS.</x:v>
      </x:c>
    </x:row>
    <x:row r="11">
      <x:c r="A11" t="str">
        <x:v>8</x:v>
      </x:c>
      <x:c r="B11" t="str">
        <x:v>Write interpretations in STUDENT WORK.</x:v>
      </x:c>
    </x:row>
    <x:row r="12">
      <x:c r="A12" t="str">
        <x:v>IMPORTANT</x:v>
      </x:c>
      <x:c r="B12" t="str">
        <x:v>All results are analytical predictions, not physical measurements.</x:v>
      </x:c>
    </x:row>
    <x:row r="15">
      <x:c r="A15" t="str">
        <x:v>BLUE</x:v>
      </x:c>
      <x:c r="B15" t="str">
        <x:v>Editable student input</x:v>
      </x:c>
    </x:row>
    <x:row r="16">
      <x:c r="A16" t="str">
        <x:v>OTHER CELLS</x:v>
      </x:c>
      <x:c r="B16" t="str">
        <x:v>Automatic calculations</x:v>
      </x:c>
    </x:row>
    <x:row r="17">
      <x:c r="A17" t="str">
        <x:v>ROUGHNESS</x:v>
      </x:c>
      <x:c r="B17" t="str">
        <x:v>Ideal geometric prediction only</x:v>
      </x:c>
    </x:row>
    <x:row r="18">
      <x:c r="A18" t="str">
        <x:v>TOOL LIFE</x:v>
      </x:c>
      <x:c r="B18" t="str">
        <x:v>Scenario assumption, not measured</x:v>
      </x:c>
    </x:row>
    <x:row r="19">
      <x:c r="A19" t="str">
        <x:v>POWER</x:v>
      </x:c>
      <x:c r="B19" t="str">
        <x:v>Cutting power adjusted for drive efficiency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25" hidden="0" customWidth="1"/>
    <x:col min="5" max="5" width="3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INPUTS | CHANGE BLUE CELLS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>
      <x:c r="A4" t="str">
        <x:v>Initial diameter (mm)</x:v>
      </x:c>
      <x:c r="B4" s="14" t="n">
        <x:v>50</x:v>
      </x:c>
      <x:c r="D4" t="str">
        <x:v>CONSTRAINT</x:v>
      </x:c>
      <x:c r="E4" t="str">
        <x:v>DESCRIPTION</x:v>
      </x:c>
    </x:row>
    <x:row r="5">
      <x:c r="A5" t="str">
        <x:v>Final diameter (mm)</x:v>
      </x:c>
      <x:c r="B5" s="14" t="n">
        <x:v>49</x:v>
      </x:c>
      <x:c r="D5" t="str">
        <x:v>Depth of cut</x:v>
      </x:c>
      <x:c r="E5" t="str">
        <x:v>(Initial - final diameter) / 2</x:v>
      </x:c>
    </x:row>
    <x:row r="6">
      <x:c r="A6" t="str">
        <x:v>Cutting length (mm)</x:v>
      </x:c>
      <x:c r="B6" s="14" t="n">
        <x:v>100</x:v>
      </x:c>
      <x:c r="D6" t="str">
        <x:v>Scenario</x:v>
      </x:c>
      <x:c r="E6" t="str">
        <x:v>Select a change request below</x:v>
      </x:c>
    </x:row>
    <x:row r="7">
      <x:c r="A7" t="str">
        <x:v>Tool nose radius (mm)</x:v>
      </x:c>
      <x:c r="B7" s="14" t="n">
        <x:v>0.8</x:v>
      </x:c>
      <x:c r="D7" t="str">
        <x:v>A</x:v>
      </x:c>
      <x:c r="E7" t="str">
        <x:v>Tighter roughness, Ra = 0.8</x:v>
      </x:c>
    </x:row>
    <x:row r="8">
      <x:c r="A8" t="str">
        <x:v>Specific cutting force (N/mm2)</x:v>
      </x:c>
      <x:c r="B8" s="14" t="n">
        <x:v>1800</x:v>
      </x:c>
      <x:c r="D8" t="str">
        <x:v>B</x:v>
      </x:c>
      <x:c r="E8" t="str">
        <x:v>Larger batch, 3500 pieces</x:v>
      </x:c>
    </x:row>
    <x:row r="9">
      <x:c r="A9" t="str">
        <x:v>Drive efficiency (0-1)</x:v>
      </x:c>
      <x:c r="B9" s="14" t="n">
        <x:v>0.85</x:v>
      </x:c>
      <x:c r="D9" t="str">
        <x:v>C</x:v>
      </x:c>
      <x:c r="E9" t="str">
        <x:v>Tool life decreases by 40%</x:v>
      </x:c>
    </x:row>
    <x:row r="10">
      <x:c r="A10" t="str">
        <x:v>Max machine input power (kW)</x:v>
      </x:c>
      <x:c r="B10" s="14" t="n">
        <x:v>7.5</x:v>
      </x:c>
    </x:row>
    <x:row r="11">
      <x:c r="A11" t="str">
        <x:v>Ra limit (micrometres)</x:v>
      </x:c>
      <x:c r="B11" s="14" t="n">
        <x:v>1.6</x:v>
      </x:c>
      <x:c r="D11" t="str">
        <x:v>Scenario selection</x:v>
      </x:c>
      <x:c r="E11" s="12" t="str">
        <x:v>BASE</x:v>
      </x:c>
    </x:row>
    <x:row r="12">
      <x:c r="A12" t="str">
        <x:v>Machine cost (RM/hour)</x:v>
      </x:c>
      <x:c r="B12" s="14" t="n">
        <x:v>60</x:v>
      </x:c>
    </x:row>
    <x:row r="13">
      <x:c r="A13" t="str">
        <x:v>Non-cutting time (seconds)</x:v>
      </x:c>
      <x:c r="B13" s="14" t="n">
        <x:v>30</x:v>
      </x:c>
      <x:c r="D13" t="str">
        <x:v>Effective Ra limit</x:v>
      </x:c>
      <x:c r="E13" t="n">
        <x:f>IF(E11="A",0.8,B11)</x:f>
        <x:v>1.6</x:v>
      </x:c>
    </x:row>
    <x:row r="14">
      <x:c r="A14" t="str">
        <x:v>Insert cost (RM)</x:v>
      </x:c>
      <x:c r="B14" s="14" t="n">
        <x:v>35</x:v>
      </x:c>
      <x:c r="D14" t="str">
        <x:v>Effective batch quantity</x:v>
      </x:c>
      <x:c r="E14" t="n">
        <x:f>IF(E11="B",3500,B17)</x:f>
        <x:v>2000</x:v>
      </x:c>
    </x:row>
    <x:row r="15">
      <x:c r="A15" t="str">
        <x:v>Usable edges per insert</x:v>
      </x:c>
      <x:c r="B15" s="14" t="n">
        <x:v>4</x:v>
      </x:c>
      <x:c r="D15" t="str">
        <x:v>Effective tool life</x:v>
      </x:c>
      <x:c r="E15" t="n">
        <x:f>IF(E11="C",B16*0.6,B16)</x:f>
        <x:v>30</x:v>
      </x:c>
    </x:row>
    <x:row r="16">
      <x:c r="A16" t="str">
        <x:v>Tool life per edge (minutes)</x:v>
      </x:c>
      <x:c r="B16" s="14" t="n">
        <x:v>30</x:v>
      </x:c>
      <x:c r="D16" t="str">
        <x:v>Depth of cut (mm)</x:v>
      </x:c>
      <x:c r="E16" t="n">
        <x:f>(B4-B5)/2</x:f>
        <x:v>0.5</x:v>
      </x:c>
    </x:row>
    <x:row r="17">
      <x:c r="A17" t="str">
        <x:v>Batch size (components)</x:v>
      </x:c>
      <x:c r="B17" s="14" t="n">
        <x:v>2000</x:v>
      </x:c>
      <x:c r="D17" t="str">
        <x:v>Mean diameter (mm)</x:v>
      </x:c>
      <x:c r="E17" t="n">
        <x:f>(B4+B5)/2</x:f>
        <x:v>49.5</x:v>
      </x:c>
    </x:row>
    <x:row r="18">
      <x:c r="A18" t="str">
        <x:v>Cutting speed level 1 (m/min)</x:v>
      </x:c>
      <x:c r="B18" s="14" t="n">
        <x:v>100</x:v>
      </x:c>
    </x:row>
    <x:row r="19">
      <x:c r="A19" t="str">
        <x:v>Cutting speed level 2 (m/min)</x:v>
      </x:c>
      <x:c r="B19" s="14" t="n">
        <x:v>150</x:v>
      </x:c>
    </x:row>
    <x:row r="20">
      <x:c r="A20" t="str">
        <x:v>Cutting speed level 3 (m/min)</x:v>
      </x:c>
      <x:c r="B20" s="14" t="n">
        <x:v>200</x:v>
      </x:c>
    </x:row>
    <x:row r="21">
      <x:c r="A21" t="str">
        <x:v>Feed level 1 (mm/rev)</x:v>
      </x:c>
      <x:c r="B21" s="14" t="n">
        <x:v>0.1</x:v>
      </x:c>
    </x:row>
    <x:row r="22">
      <x:c r="A22" t="str">
        <x:v>Feed level 2 (mm/rev)</x:v>
      </x:c>
      <x:c r="B22" s="14" t="n">
        <x:v>0.15</x:v>
      </x:c>
    </x:row>
    <x:row r="23">
      <x:c r="A23" t="str">
        <x:v>Feed level 3 (mm/rev)</x:v>
      </x:c>
      <x:c r="B23" s="14" t="n">
        <x:v>0.2</x:v>
      </x:c>
    </x:row>
  </x:sheetData>
  <x:mergeCells>
    <x:mergeCell ref="A1:N1"/>
  </x:mergeCells>
  <x:dataValidations count="1">
    <x:dataValidation type="list" sqref="E11">
      <x:formula1>"BASE,A,B,C"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</x:cols>
  <x:sheetData>
    <x:row r="1" ht="34" customHeight="1">
      <x:c r="A1" s="6" t="str">
        <x:v>NINE VIRTUAL EXPERIMENTS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 ht="40" customHeight="1">
      <x:c r="A4" s="18" t="str">
        <x:v>Trial</x:v>
      </x:c>
      <x:c r="B4" s="18" t="str">
        <x:v>Vc m/min</x:v>
      </x:c>
      <x:c r="C4" s="18" t="str">
        <x:v>Feed mm/rev</x:v>
      </x:c>
      <x:c r="D4" s="18" t="str">
        <x:v>ap mm</x:v>
      </x:c>
      <x:c r="E4" s="18" t="str">
        <x:v>RPM</x:v>
      </x:c>
      <x:c r="F4" s="18" t="str">
        <x:v>MRR mm3/min</x:v>
      </x:c>
      <x:c r="G4" s="18" t="str">
        <x:v>Ideal Ra um</x:v>
      </x:c>
      <x:c r="H4" s="18" t="str">
        <x:v>Fc N</x:v>
      </x:c>
      <x:c r="I4" s="18" t="str">
        <x:v>Cutting kW</x:v>
      </x:c>
      <x:c r="J4" s="18" t="str">
        <x:v>Input kW</x:v>
      </x:c>
      <x:c r="K4" s="18" t="str">
        <x:v>Cut time s</x:v>
      </x:c>
      <x:c r="L4" s="18" t="str">
        <x:v>Cycle time s</x:v>
      </x:c>
      <x:c r="M4" s="18" t="str">
        <x:v>Cost RM/part</x:v>
      </x:c>
      <x:c r="N4" s="18" t="str">
        <x:v>Status</x:v>
      </x:c>
    </x:row>
    <x:row r="5">
      <x:c r="A5" t="n">
        <x:v>1</x:v>
      </x:c>
      <x:c r="B5" s="20" t="n">
        <x:f>INPUTS!B18</x:f>
        <x:v>100</x:v>
      </x:c>
      <x:c r="C5" s="20" t="n">
        <x:f>INPUTS!B21</x:f>
        <x:v>0.1</x:v>
      </x:c>
      <x:c r="D5" s="20" t="n">
        <x:f>INPUTS!E16</x:f>
        <x:v>0.5</x:v>
      </x:c>
      <x:c r="E5" s="20" t="n">
        <x:f>1000*B5/(PI()*INPUTS!E17)</x:f>
        <x:v>643.050275118769</x:v>
      </x:c>
      <x:c r="F5" s="20" t="n">
        <x:f>1000*B5*C5*D5</x:f>
        <x:v>5000</x:v>
      </x:c>
      <x:c r="G5" s="20" t="n">
        <x:f>1000*C5^2/(32*INPUTS!B7)</x:f>
        <x:v>0.39062500000000006</x:v>
      </x:c>
      <x:c r="H5" s="20" t="n">
        <x:f>INPUTS!B8*D5*C5</x:f>
        <x:v>90</x:v>
      </x:c>
      <x:c r="I5" s="20" t="n">
        <x:f>H5*B5/60000</x:f>
        <x:v>0.15</x:v>
      </x:c>
      <x:c r="J5" s="20" t="n">
        <x:f>I5/INPUTS!B9</x:f>
        <x:v>0.17647058823529413</x:v>
      </x:c>
      <x:c r="K5" s="20" t="n">
        <x:f>60*INPUTS!B6/(C5*E5)</x:f>
        <x:v>93.30530181161686</x:v>
      </x:c>
      <x:c r="L5" s="20" t="n">
        <x:f>K5+INPUTS!B13</x:f>
        <x:v>123.30530181161686</x:v>
      </x:c>
      <x:c r="M5" s="20" t="n">
        <x:f>L5/3600*INPUTS!B12+K5/60/INPUTS!E15*(INPUTS!B14/INPUTS!B15)</x:f>
        <x:v>2.508655802888974</x:v>
      </x:c>
      <x:c r="N5" t="str">
        <x:f>IF(AND(G5&lt;=INPUTS!E13,J5&lt;=INPUTS!B10),"FEASIBLE","NOT FEASIBLE")</x:f>
        <x:v>FEASIBLE</x:v>
      </x:c>
    </x:row>
    <x:row r="6">
      <x:c r="A6" t="n">
        <x:v>2</x:v>
      </x:c>
      <x:c r="B6" s="20" t="n">
        <x:f>INPUTS!B18</x:f>
        <x:v>100</x:v>
      </x:c>
      <x:c r="C6" s="20" t="n">
        <x:f>INPUTS!B22</x:f>
        <x:v>0.15</x:v>
      </x:c>
      <x:c r="D6" s="20" t="n">
        <x:f>INPUTS!E16</x:f>
        <x:v>0.5</x:v>
      </x:c>
      <x:c r="E6" s="20" t="n">
        <x:f>1000*B6/(PI()*INPUTS!E17)</x:f>
        <x:v>643.050275118769</x:v>
      </x:c>
      <x:c r="F6" s="20" t="n">
        <x:f>1000*B6*C6*D6</x:f>
        <x:v>7500</x:v>
      </x:c>
      <x:c r="G6" s="20" t="n">
        <x:f>1000*C6^2/(32*INPUTS!B7)</x:f>
        <x:v>0.87890625</x:v>
      </x:c>
      <x:c r="H6" s="20" t="n">
        <x:f>INPUTS!B8*D6*C6</x:f>
        <x:v>135</x:v>
      </x:c>
      <x:c r="I6" s="20" t="n">
        <x:f>H6*B6/60000</x:f>
        <x:v>0.225</x:v>
      </x:c>
      <x:c r="J6" s="20" t="n">
        <x:f>I6/INPUTS!B9</x:f>
        <x:v>0.2647058823529412</x:v>
      </x:c>
      <x:c r="K6" s="20" t="n">
        <x:f>60*INPUTS!B6/(C6*E6)</x:f>
        <x:v>62.20353454107791</x:v>
      </x:c>
      <x:c r="L6" s="20" t="n">
        <x:f>K6+INPUTS!B13</x:f>
        <x:v>92.20353454107791</x:v>
      </x:c>
      <x:c r="M6" s="20" t="n">
        <x:f>L6/3600*INPUTS!B12+K6/60/INPUTS!E15*(INPUTS!B14/INPUTS!B15)</x:f>
        <x:v>1.8391038685926495</x:v>
      </x:c>
      <x:c r="N6" t="str">
        <x:f>IF(AND(G6&lt;=INPUTS!E13,J6&lt;=INPUTS!B10),"FEASIBLE","NOT FEASIBLE")</x:f>
        <x:v>FEASIBLE</x:v>
      </x:c>
    </x:row>
    <x:row r="7">
      <x:c r="A7" t="n">
        <x:v>3</x:v>
      </x:c>
      <x:c r="B7" s="20" t="n">
        <x:f>INPUTS!B18</x:f>
        <x:v>100</x:v>
      </x:c>
      <x:c r="C7" s="20" t="n">
        <x:f>INPUTS!B23</x:f>
        <x:v>0.2</x:v>
      </x:c>
      <x:c r="D7" s="20" t="n">
        <x:f>INPUTS!E16</x:f>
        <x:v>0.5</x:v>
      </x:c>
      <x:c r="E7" s="20" t="n">
        <x:f>1000*B7/(PI()*INPUTS!E17)</x:f>
        <x:v>643.050275118769</x:v>
      </x:c>
      <x:c r="F7" s="20" t="n">
        <x:f>1000*B7*C7*D7</x:f>
        <x:v>10000</x:v>
      </x:c>
      <x:c r="G7" s="20" t="n">
        <x:f>1000*C7^2/(32*INPUTS!B7)</x:f>
        <x:v>1.5625000000000002</x:v>
      </x:c>
      <x:c r="H7" s="20" t="n">
        <x:f>INPUTS!B8*D7*C7</x:f>
        <x:v>180</x:v>
      </x:c>
      <x:c r="I7" s="20" t="n">
        <x:f>H7*B7/60000</x:f>
        <x:v>0.3</x:v>
      </x:c>
      <x:c r="J7" s="20" t="n">
        <x:f>I7/INPUTS!B9</x:f>
        <x:v>0.35294117647058826</x:v>
      </x:c>
      <x:c r="K7" s="20" t="n">
        <x:f>60*INPUTS!B6/(C7*E7)</x:f>
        <x:v>46.65265090580843</x:v>
      </x:c>
      <x:c r="L7" s="20" t="n">
        <x:f>K7+INPUTS!B13</x:f>
        <x:v>76.65265090580843</x:v>
      </x:c>
      <x:c r="M7" s="20" t="n">
        <x:f>L7/3600*INPUTS!B12+K7/60/INPUTS!E15*(INPUTS!B14/INPUTS!B15)</x:f>
        <x:v>1.504327901444487</x:v>
      </x:c>
      <x:c r="N7" t="str">
        <x:f>IF(AND(G7&lt;=INPUTS!E13,J7&lt;=INPUTS!B10),"FEASIBLE","NOT FEASIBLE")</x:f>
        <x:v>FEASIBLE</x:v>
      </x:c>
    </x:row>
    <x:row r="8">
      <x:c r="A8" t="n">
        <x:v>4</x:v>
      </x:c>
      <x:c r="B8" s="20" t="n">
        <x:f>INPUTS!B19</x:f>
        <x:v>150</x:v>
      </x:c>
      <x:c r="C8" s="20" t="n">
        <x:f>INPUTS!B21</x:f>
        <x:v>0.1</x:v>
      </x:c>
      <x:c r="D8" s="20" t="n">
        <x:f>INPUTS!E16</x:f>
        <x:v>0.5</x:v>
      </x:c>
      <x:c r="E8" s="20" t="n">
        <x:f>1000*B8/(PI()*INPUTS!E17)</x:f>
        <x:v>964.5754126781535</x:v>
      </x:c>
      <x:c r="F8" s="20" t="n">
        <x:f>1000*B8*C8*D8</x:f>
        <x:v>7500</x:v>
      </x:c>
      <x:c r="G8" s="20" t="n">
        <x:f>1000*C8^2/(32*INPUTS!B7)</x:f>
        <x:v>0.39062500000000006</x:v>
      </x:c>
      <x:c r="H8" s="20" t="n">
        <x:f>INPUTS!B8*D8*C8</x:f>
        <x:v>90</x:v>
      </x:c>
      <x:c r="I8" s="20" t="n">
        <x:f>H8*B8/60000</x:f>
        <x:v>0.225</x:v>
      </x:c>
      <x:c r="J8" s="20" t="n">
        <x:f>I8/INPUTS!B9</x:f>
        <x:v>0.2647058823529412</x:v>
      </x:c>
      <x:c r="K8" s="20" t="n">
        <x:f>60*INPUTS!B6/(C8*E8)</x:f>
        <x:v>62.20353454107791</x:v>
      </x:c>
      <x:c r="L8" s="20" t="n">
        <x:f>K8+INPUTS!B13</x:f>
        <x:v>92.20353454107791</x:v>
      </x:c>
      <x:c r="M8" s="20" t="n">
        <x:f>L8/3600*INPUTS!B12+K8/60/INPUTS!E15*(INPUTS!B14/INPUTS!B15)</x:f>
        <x:v>1.8391038685926495</x:v>
      </x:c>
      <x:c r="N8" t="str">
        <x:f>IF(AND(G8&lt;=INPUTS!E13,J8&lt;=INPUTS!B10),"FEASIBLE","NOT FEASIBLE")</x:f>
        <x:v>FEASIBLE</x:v>
      </x:c>
    </x:row>
    <x:row r="9">
      <x:c r="A9" t="n">
        <x:v>5</x:v>
      </x:c>
      <x:c r="B9" s="20" t="n">
        <x:f>INPUTS!B19</x:f>
        <x:v>150</x:v>
      </x:c>
      <x:c r="C9" s="20" t="n">
        <x:f>INPUTS!B22</x:f>
        <x:v>0.15</x:v>
      </x:c>
      <x:c r="D9" s="20" t="n">
        <x:f>INPUTS!E16</x:f>
        <x:v>0.5</x:v>
      </x:c>
      <x:c r="E9" s="20" t="n">
        <x:f>1000*B9/(PI()*INPUTS!E17)</x:f>
        <x:v>964.5754126781535</x:v>
      </x:c>
      <x:c r="F9" s="20" t="n">
        <x:f>1000*B9*C9*D9</x:f>
        <x:v>11250</x:v>
      </x:c>
      <x:c r="G9" s="20" t="n">
        <x:f>1000*C9^2/(32*INPUTS!B7)</x:f>
        <x:v>0.87890625</x:v>
      </x:c>
      <x:c r="H9" s="20" t="n">
        <x:f>INPUTS!B8*D9*C9</x:f>
        <x:v>135</x:v>
      </x:c>
      <x:c r="I9" s="20" t="n">
        <x:f>H9*B9/60000</x:f>
        <x:v>0.3375</x:v>
      </x:c>
      <x:c r="J9" s="20" t="n">
        <x:f>I9/INPUTS!B9</x:f>
        <x:v>0.3970588235294118</x:v>
      </x:c>
      <x:c r="K9" s="20" t="n">
        <x:f>60*INPUTS!B6/(C9*E9)</x:f>
        <x:v>41.46902302738527</x:v>
      </x:c>
      <x:c r="L9" s="20" t="n">
        <x:f>K9+INPUTS!B13</x:f>
        <x:v>71.46902302738528</x:v>
      </x:c>
      <x:c r="M9" s="20" t="n">
        <x:f>L9/3600*INPUTS!B12+K9/60/INPUTS!E15*(INPUTS!B14/INPUTS!B15)</x:f>
        <x:v>1.3927359123950995</x:v>
      </x:c>
      <x:c r="N9" t="str">
        <x:f>IF(AND(G9&lt;=INPUTS!E13,J9&lt;=INPUTS!B10),"FEASIBLE","NOT FEASIBLE")</x:f>
        <x:v>FEASIBLE</x:v>
      </x:c>
    </x:row>
    <x:row r="10">
      <x:c r="A10" t="n">
        <x:v>6</x:v>
      </x:c>
      <x:c r="B10" s="20" t="n">
        <x:f>INPUTS!B19</x:f>
        <x:v>150</x:v>
      </x:c>
      <x:c r="C10" s="20" t="n">
        <x:f>INPUTS!B23</x:f>
        <x:v>0.2</x:v>
      </x:c>
      <x:c r="D10" s="20" t="n">
        <x:f>INPUTS!E16</x:f>
        <x:v>0.5</x:v>
      </x:c>
      <x:c r="E10" s="20" t="n">
        <x:f>1000*B10/(PI()*INPUTS!E17)</x:f>
        <x:v>964.5754126781535</x:v>
      </x:c>
      <x:c r="F10" s="20" t="n">
        <x:f>1000*B10*C10*D10</x:f>
        <x:v>15000</x:v>
      </x:c>
      <x:c r="G10" s="20" t="n">
        <x:f>1000*C10^2/(32*INPUTS!B7)</x:f>
        <x:v>1.5625000000000002</x:v>
      </x:c>
      <x:c r="H10" s="20" t="n">
        <x:f>INPUTS!B8*D10*C10</x:f>
        <x:v>180</x:v>
      </x:c>
      <x:c r="I10" s="20" t="n">
        <x:f>H10*B10/60000</x:f>
        <x:v>0.45</x:v>
      </x:c>
      <x:c r="J10" s="20" t="n">
        <x:f>I10/INPUTS!B9</x:f>
        <x:v>0.5294117647058824</x:v>
      </x:c>
      <x:c r="K10" s="20" t="n">
        <x:f>60*INPUTS!B6/(C10*E10)</x:f>
        <x:v>31.101767270538954</x:v>
      </x:c>
      <x:c r="L10" s="20" t="n">
        <x:f>K10+INPUTS!B13</x:f>
        <x:v>61.10176727053896</x:v>
      </x:c>
      <x:c r="M10" s="20" t="n">
        <x:f>L10/3600*INPUTS!B12+K10/60/INPUTS!E15*(INPUTS!B14/INPUTS!B15)</x:f>
        <x:v>1.1695519342963248</x:v>
      </x:c>
      <x:c r="N10" t="str">
        <x:f>IF(AND(G10&lt;=INPUTS!E13,J10&lt;=INPUTS!B10),"FEASIBLE","NOT FEASIBLE")</x:f>
        <x:v>FEASIBLE</x:v>
      </x:c>
    </x:row>
    <x:row r="11">
      <x:c r="A11" t="n">
        <x:v>7</x:v>
      </x:c>
      <x:c r="B11" s="20" t="n">
        <x:f>INPUTS!B20</x:f>
        <x:v>200</x:v>
      </x:c>
      <x:c r="C11" s="20" t="n">
        <x:f>INPUTS!B21</x:f>
        <x:v>0.1</x:v>
      </x:c>
      <x:c r="D11" s="20" t="n">
        <x:f>INPUTS!E16</x:f>
        <x:v>0.5</x:v>
      </x:c>
      <x:c r="E11" s="20" t="n">
        <x:f>1000*B11/(PI()*INPUTS!E17)</x:f>
        <x:v>1286.100550237538</x:v>
      </x:c>
      <x:c r="F11" s="20" t="n">
        <x:f>1000*B11*C11*D11</x:f>
        <x:v>10000</x:v>
      </x:c>
      <x:c r="G11" s="20" t="n">
        <x:f>1000*C11^2/(32*INPUTS!B7)</x:f>
        <x:v>0.39062500000000006</x:v>
      </x:c>
      <x:c r="H11" s="20" t="n">
        <x:f>INPUTS!B8*D11*C11</x:f>
        <x:v>90</x:v>
      </x:c>
      <x:c r="I11" s="20" t="n">
        <x:f>H11*B11/60000</x:f>
        <x:v>0.3</x:v>
      </x:c>
      <x:c r="J11" s="20" t="n">
        <x:f>I11/INPUTS!B9</x:f>
        <x:v>0.35294117647058826</x:v>
      </x:c>
      <x:c r="K11" s="20" t="n">
        <x:f>60*INPUTS!B6/(C11*E11)</x:f>
        <x:v>46.65265090580843</x:v>
      </x:c>
      <x:c r="L11" s="20" t="n">
        <x:f>K11+INPUTS!B13</x:f>
        <x:v>76.65265090580843</x:v>
      </x:c>
      <x:c r="M11" s="20" t="n">
        <x:f>L11/3600*INPUTS!B12+K11/60/INPUTS!E15*(INPUTS!B14/INPUTS!B15)</x:f>
        <x:v>1.504327901444487</x:v>
      </x:c>
      <x:c r="N11" t="str">
        <x:f>IF(AND(G11&lt;=INPUTS!E13,J11&lt;=INPUTS!B10),"FEASIBLE","NOT FEASIBLE")</x:f>
        <x:v>FEASIBLE</x:v>
      </x:c>
    </x:row>
    <x:row r="12">
      <x:c r="A12" t="n">
        <x:v>8</x:v>
      </x:c>
      <x:c r="B12" s="20" t="n">
        <x:f>INPUTS!B20</x:f>
        <x:v>200</x:v>
      </x:c>
      <x:c r="C12" s="20" t="n">
        <x:f>INPUTS!B22</x:f>
        <x:v>0.15</x:v>
      </x:c>
      <x:c r="D12" s="20" t="n">
        <x:f>INPUTS!E16</x:f>
        <x:v>0.5</x:v>
      </x:c>
      <x:c r="E12" s="20" t="n">
        <x:f>1000*B12/(PI()*INPUTS!E17)</x:f>
        <x:v>1286.100550237538</x:v>
      </x:c>
      <x:c r="F12" s="20" t="n">
        <x:f>1000*B12*C12*D12</x:f>
        <x:v>15000</x:v>
      </x:c>
      <x:c r="G12" s="20" t="n">
        <x:f>1000*C12^2/(32*INPUTS!B7)</x:f>
        <x:v>0.87890625</x:v>
      </x:c>
      <x:c r="H12" s="20" t="n">
        <x:f>INPUTS!B8*D12*C12</x:f>
        <x:v>135</x:v>
      </x:c>
      <x:c r="I12" s="20" t="n">
        <x:f>H12*B12/60000</x:f>
        <x:v>0.45</x:v>
      </x:c>
      <x:c r="J12" s="20" t="n">
        <x:f>I12/INPUTS!B9</x:f>
        <x:v>0.5294117647058824</x:v>
      </x:c>
      <x:c r="K12" s="20" t="n">
        <x:f>60*INPUTS!B6/(C12*E12)</x:f>
        <x:v>31.101767270538954</x:v>
      </x:c>
      <x:c r="L12" s="20" t="n">
        <x:f>K12+INPUTS!B13</x:f>
        <x:v>61.10176727053896</x:v>
      </x:c>
      <x:c r="M12" s="20" t="n">
        <x:f>L12/3600*INPUTS!B12+K12/60/INPUTS!E15*(INPUTS!B14/INPUTS!B15)</x:f>
        <x:v>1.1695519342963248</x:v>
      </x:c>
      <x:c r="N12" t="str">
        <x:f>IF(AND(G12&lt;=INPUTS!E13,J12&lt;=INPUTS!B10),"FEASIBLE","NOT FEASIBLE")</x:f>
        <x:v>FEASIBLE</x:v>
      </x:c>
    </x:row>
    <x:row r="13">
      <x:c r="A13" t="n">
        <x:v>9</x:v>
      </x:c>
      <x:c r="B13" s="20" t="n">
        <x:f>INPUTS!B20</x:f>
        <x:v>200</x:v>
      </x:c>
      <x:c r="C13" s="20" t="n">
        <x:f>INPUTS!B23</x:f>
        <x:v>0.2</x:v>
      </x:c>
      <x:c r="D13" s="20" t="n">
        <x:f>INPUTS!E16</x:f>
        <x:v>0.5</x:v>
      </x:c>
      <x:c r="E13" s="20" t="n">
        <x:f>1000*B13/(PI()*INPUTS!E17)</x:f>
        <x:v>1286.100550237538</x:v>
      </x:c>
      <x:c r="F13" s="20" t="n">
        <x:f>1000*B13*C13*D13</x:f>
        <x:v>20000</x:v>
      </x:c>
      <x:c r="G13" s="20" t="n">
        <x:f>1000*C13^2/(32*INPUTS!B7)</x:f>
        <x:v>1.5625000000000002</x:v>
      </x:c>
      <x:c r="H13" s="20" t="n">
        <x:f>INPUTS!B8*D13*C13</x:f>
        <x:v>180</x:v>
      </x:c>
      <x:c r="I13" s="20" t="n">
        <x:f>H13*B13/60000</x:f>
        <x:v>0.6</x:v>
      </x:c>
      <x:c r="J13" s="20" t="n">
        <x:f>I13/INPUTS!B9</x:f>
        <x:v>0.7058823529411765</x:v>
      </x:c>
      <x:c r="K13" s="20" t="n">
        <x:f>60*INPUTS!B6/(C13*E13)</x:f>
        <x:v>23.326325452904214</x:v>
      </x:c>
      <x:c r="L13" s="20" t="n">
        <x:f>K13+INPUTS!B13</x:f>
        <x:v>53.326325452904214</x:v>
      </x:c>
      <x:c r="M13" s="20" t="n">
        <x:f>L13/3600*INPUTS!B12+K13/60/INPUTS!E15*(INPUTS!B14/INPUTS!B15)</x:f>
        <x:v>1.0021639507222435</x:v>
      </x:c>
      <x:c r="N13" t="str">
        <x:f>IF(AND(G13&lt;=INPUTS!E13,J13&lt;=INPUTS!B10),"FEASIBLE","NOT FEASIBLE")</x:f>
        <x:v>FEASIBLE</x:v>
      </x:c>
    </x:row>
    <x:row r="16">
      <x:c r="A16" t="str">
        <x:v>CHECK</x:v>
      </x:c>
      <x:c r="B16" t="str">
        <x:v>MEANING</x:v>
      </x:c>
    </x:row>
    <x:row r="17">
      <x:c r="A17" t="str">
        <x:v>Ra</x:v>
      </x:c>
      <x:c r="B17" t="str">
        <x:v>Ideal geometric prediction, not experimental Ra</x:v>
      </x:c>
    </x:row>
    <x:row r="18">
      <x:c r="A18" t="str">
        <x:v>Force</x:v>
      </x:c>
      <x:c r="B18" t="str">
        <x:v>Constant specific cutting force assumption</x:v>
      </x:c>
    </x:row>
    <x:row r="19">
      <x:c r="A19" t="str">
        <x:v>Time</x:v>
      </x:c>
      <x:c r="B19" t="str">
        <x:v>Single pass, fixed mean diameter approximation</x:v>
      </x:c>
    </x:row>
  </x:sheetData>
  <x:mergeCells>
    <x:mergeCell ref="A1:N1"/>
  </x:mergeCells>
  <x:conditionalFormatting sqref="N5:N13">
    <x:cfRule type="expression" dxfId="0" priority="1">
      <x:formula>N5="NOT FEASIBLE"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25" hidden="0" customWidth="1"/>
    <x:col min="5" max="5" width="3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LIVE SIMULATOR | EDIT BLUE CELLS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>
      <x:c r="A4" t="str">
        <x:v>Cutting speed (m/min)</x:v>
      </x:c>
      <x:c r="B4" s="12" t="n">
        <x:v>150</x:v>
      </x:c>
      <x:c r="D4" t="str">
        <x:v>HOW TO EXPERIMENT</x:v>
      </x:c>
      <x:c r="E4" t="str"/>
    </x:row>
    <x:row r="5">
      <x:c r="A5" t="str">
        <x:v>Feed (mm/rev)</x:v>
      </x:c>
      <x:c r="B5" s="12" t="n">
        <x:v>0.15</x:v>
      </x:c>
      <x:c r="D5" t="str">
        <x:v>1</x:v>
      </x:c>
      <x:c r="E5" t="str">
        <x:v>Edit blue speed and feed cells</x:v>
      </x:c>
    </x:row>
    <x:row r="6">
      <x:c r="D6" t="str">
        <x:v>2</x:v>
      </x:c>
      <x:c r="E6" t="str">
        <x:v>Watch outputs recalculate</x:v>
      </x:c>
    </x:row>
    <x:row r="7">
      <x:c r="D7" t="str">
        <x:v>3</x:v>
      </x:c>
      <x:c r="E7" t="str">
        <x:v>Compare roughness and cost</x:v>
      </x:c>
    </x:row>
    <x:row r="8">
      <x:c r="A8" t="str">
        <x:v>Radial depth (mm)</x:v>
      </x:c>
      <x:c r="B8" s="20" t="n">
        <x:f>INPUTS!E16</x:f>
        <x:v>0.5</x:v>
      </x:c>
      <x:c r="D8" t="str">
        <x:v>4</x:v>
      </x:c>
      <x:c r="E8" t="str">
        <x:v>Explain trade-offs in report</x:v>
      </x:c>
    </x:row>
    <x:row r="9">
      <x:c r="A9" t="str">
        <x:v>Spindle speed (rpm)</x:v>
      </x:c>
      <x:c r="B9" s="20" t="n">
        <x:f>1000*B4/(PI()*INPUTS!E17)</x:f>
        <x:v>964.5754126781535</x:v>
      </x:c>
    </x:row>
    <x:row r="10">
      <x:c r="A10" t="str">
        <x:v>MRR (mm3/min)</x:v>
      </x:c>
      <x:c r="B10" s="20" t="n">
        <x:f>1000*B4*B5*B8</x:f>
        <x:v>11250</x:v>
      </x:c>
    </x:row>
    <x:row r="11">
      <x:c r="A11" t="str">
        <x:v>Ideal Ra (um)</x:v>
      </x:c>
      <x:c r="B11" s="20" t="n">
        <x:f>1000*B5^2/(32*INPUTS!B7)</x:f>
        <x:v>0.87890625</x:v>
      </x:c>
    </x:row>
    <x:row r="12">
      <x:c r="A12" t="str">
        <x:v>Cutting force (N)</x:v>
      </x:c>
      <x:c r="B12" s="20" t="n">
        <x:f>INPUTS!B8*B8*B5</x:f>
        <x:v>135</x:v>
      </x:c>
    </x:row>
    <x:row r="13">
      <x:c r="A13" t="str">
        <x:v>Cutting power (kW)</x:v>
      </x:c>
      <x:c r="B13" s="20" t="n">
        <x:f>B12*B4/60000</x:f>
        <x:v>0.3375</x:v>
      </x:c>
    </x:row>
    <x:row r="14">
      <x:c r="A14" t="str">
        <x:v>Machine input power (kW)</x:v>
      </x:c>
      <x:c r="B14" s="20" t="n">
        <x:f>B13/INPUTS!B9</x:f>
        <x:v>0.3970588235294118</x:v>
      </x:c>
    </x:row>
    <x:row r="15">
      <x:c r="A15" t="str">
        <x:v>Cutting time (s)</x:v>
      </x:c>
      <x:c r="B15" s="20" t="n">
        <x:f>60*INPUTS!B6/(B5*B9)</x:f>
        <x:v>41.46902302738527</x:v>
      </x:c>
    </x:row>
    <x:row r="16">
      <x:c r="A16" t="str">
        <x:v>Cycle time (s)</x:v>
      </x:c>
      <x:c r="B16" s="20" t="n">
        <x:f>B15+INPUTS!B13</x:f>
        <x:v>71.46902302738528</x:v>
      </x:c>
    </x:row>
    <x:row r="17">
      <x:c r="A17" t="str">
        <x:v>Cost per part (RM)</x:v>
      </x:c>
      <x:c r="B17" s="20" t="n">
        <x:f>B16/3600*INPUTS!B12+B15/60/INPUTS!E15*(INPUTS!B14/INPUTS!B15)</x:f>
        <x:v>1.3927359123950995</x:v>
      </x:c>
    </x:row>
    <x:row r="18">
      <x:c r="A18" t="str">
        <x:v>Feasibility</x:v>
      </x:c>
      <x:c r="B18" t="str">
        <x:f>IF(AND(B11&lt;=INPUTS!E13,B14&lt;=INPUTS!B10),"FEASIBLE","NOT FEASIBLE")</x:f>
        <x:v>FEASIBLE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PRODUCTION COST AND TOOL LIFE SCENARIOS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 ht="40" customHeight="1">
      <x:c r="A4" s="18" t="str">
        <x:v>Trial</x:v>
      </x:c>
      <x:c r="B4" s="18" t="str">
        <x:v>Cost/part RM</x:v>
      </x:c>
      <x:c r="C4" s="18" t="str">
        <x:v>Batch cost RM</x:v>
      </x:c>
      <x:c r="D4" s="18" t="str">
        <x:v>Batch cycle hours</x:v>
      </x:c>
      <x:c r="E4" s="18" t="str">
        <x:v>Tool cost/part</x:v>
      </x:c>
      <x:c r="F4" s="18" t="str">
        <x:v>15 min life</x:v>
      </x:c>
      <x:c r="G4" s="18" t="str">
        <x:v>30 min life</x:v>
      </x:c>
      <x:c r="H4" s="18" t="str">
        <x:v>60 min life</x:v>
      </x:c>
    </x:row>
    <x:row r="5">
      <x:c r="A5" t="n">
        <x:f>'9 TRIALS'!A5</x:f>
        <x:v>1</x:v>
      </x:c>
      <x:c r="B5" s="20" t="n">
        <x:f>'9 TRIALS'!M5</x:f>
        <x:v>2.508655802888974</x:v>
      </x:c>
      <x:c r="C5" s="20" t="n">
        <x:f>B5*INPUTS!E14</x:f>
        <x:v>5017.311605777948</x:v>
      </x:c>
      <x:c r="D5" s="20" t="n">
        <x:f>'9 TRIALS'!L5*INPUTS!E14/3600</x:f>
        <x:v>68.50294545089825</x:v>
      </x:c>
      <x:c r="E5" s="20" t="n">
        <x:f>'9 TRIALS'!K5/60/INPUTS!E15*(INPUTS!B14/INPUTS!B15)</x:f>
        <x:v>0.4535674393620264</x:v>
      </x:c>
      <x:c r="F5" s="20" t="n">
        <x:f>'9 TRIALS'!L5/3600*INPUTS!B12+'9 TRIALS'!K5/60/15*(INPUTS!B14/INPUTS!B15)</x:f>
        <x:v>2.9622232422510004</x:v>
      </x:c>
      <x:c r="G5" s="20" t="n">
        <x:f>'9 TRIALS'!L5/3600*INPUTS!B12+'9 TRIALS'!K5/60/30*(INPUTS!B14/INPUTS!B15)</x:f>
        <x:v>2.508655802888974</x:v>
      </x:c>
      <x:c r="H5" s="20" t="n">
        <x:f>'9 TRIALS'!L5/3600*INPUTS!B12+'9 TRIALS'!K5/60/60*(INPUTS!B14/INPUTS!B15)</x:f>
        <x:v>2.281872083207961</x:v>
      </x:c>
    </x:row>
    <x:row r="6">
      <x:c r="A6" t="n">
        <x:f>'9 TRIALS'!A6</x:f>
        <x:v>2</x:v>
      </x:c>
      <x:c r="B6" s="20" t="n">
        <x:f>'9 TRIALS'!M6</x:f>
        <x:v>1.8391038685926495</x:v>
      </x:c>
      <x:c r="C6" s="20" t="n">
        <x:f>B6*INPUTS!E14</x:f>
        <x:v>3678.207737185299</x:v>
      </x:c>
      <x:c r="D6" s="20" t="n">
        <x:f>'9 TRIALS'!L6*INPUTS!E14/3600</x:f>
        <x:v>51.22418585615439</x:v>
      </x:c>
      <x:c r="E6" s="20" t="n">
        <x:f>'9 TRIALS'!K6/60/INPUTS!E15*(INPUTS!B14/INPUTS!B15)</x:f>
        <x:v>0.3023782929080176</x:v>
      </x:c>
      <x:c r="F6" s="20" t="n">
        <x:f>'9 TRIALS'!L6/3600*INPUTS!B12+'9 TRIALS'!K6/60/15*(INPUTS!B14/INPUTS!B15)</x:f>
        <x:v>2.141482161500667</x:v>
      </x:c>
      <x:c r="G6" s="20" t="n">
        <x:f>'9 TRIALS'!L6/3600*INPUTS!B12+'9 TRIALS'!K6/60/30*(INPUTS!B14/INPUTS!B15)</x:f>
        <x:v>1.8391038685926495</x:v>
      </x:c>
      <x:c r="H6" s="20" t="n">
        <x:f>'9 TRIALS'!L6/3600*INPUTS!B12+'9 TRIALS'!K6/60/60*(INPUTS!B14/INPUTS!B15)</x:f>
        <x:v>1.6879147221386406</x:v>
      </x:c>
    </x:row>
    <x:row r="7">
      <x:c r="A7" t="n">
        <x:f>'9 TRIALS'!A7</x:f>
        <x:v>3</x:v>
      </x:c>
      <x:c r="B7" s="20" t="n">
        <x:f>'9 TRIALS'!M7</x:f>
        <x:v>1.504327901444487</x:v>
      </x:c>
      <x:c r="C7" s="20" t="n">
        <x:f>B7*INPUTS!E14</x:f>
        <x:v>3008.655802888974</x:v>
      </x:c>
      <x:c r="D7" s="20" t="n">
        <x:f>'9 TRIALS'!L7*INPUTS!E14/3600</x:f>
        <x:v>42.58480605878246</x:v>
      </x:c>
      <x:c r="E7" s="20" t="n">
        <x:f>'9 TRIALS'!K7/60/INPUTS!E15*(INPUTS!B14/INPUTS!B15)</x:f>
        <x:v>0.2267837196810132</x:v>
      </x:c>
      <x:c r="F7" s="20" t="n">
        <x:f>'9 TRIALS'!L7/3600*INPUTS!B12+'9 TRIALS'!K7/60/15*(INPUTS!B14/INPUTS!B15)</x:f>
        <x:v>1.7311116211255002</x:v>
      </x:c>
      <x:c r="G7" s="20" t="n">
        <x:f>'9 TRIALS'!L7/3600*INPUTS!B12+'9 TRIALS'!K7/60/30*(INPUTS!B14/INPUTS!B15)</x:f>
        <x:v>1.504327901444487</x:v>
      </x:c>
      <x:c r="H7" s="20" t="n">
        <x:f>'9 TRIALS'!L7/3600*INPUTS!B12+'9 TRIALS'!K7/60/60*(INPUTS!B14/INPUTS!B15)</x:f>
        <x:v>1.3909360416039804</x:v>
      </x:c>
    </x:row>
    <x:row r="8">
      <x:c r="A8" t="n">
        <x:f>'9 TRIALS'!A8</x:f>
        <x:v>4</x:v>
      </x:c>
      <x:c r="B8" s="20" t="n">
        <x:f>'9 TRIALS'!M8</x:f>
        <x:v>1.8391038685926495</x:v>
      </x:c>
      <x:c r="C8" s="20" t="n">
        <x:f>B8*INPUTS!E14</x:f>
        <x:v>3678.207737185299</x:v>
      </x:c>
      <x:c r="D8" s="20" t="n">
        <x:f>'9 TRIALS'!L8*INPUTS!E14/3600</x:f>
        <x:v>51.22418585615439</x:v>
      </x:c>
      <x:c r="E8" s="20" t="n">
        <x:f>'9 TRIALS'!K8/60/INPUTS!E15*(INPUTS!B14/INPUTS!B15)</x:f>
        <x:v>0.3023782929080176</x:v>
      </x:c>
      <x:c r="F8" s="20" t="n">
        <x:f>'9 TRIALS'!L8/3600*INPUTS!B12+'9 TRIALS'!K8/60/15*(INPUTS!B14/INPUTS!B15)</x:f>
        <x:v>2.141482161500667</x:v>
      </x:c>
      <x:c r="G8" s="20" t="n">
        <x:f>'9 TRIALS'!L8/3600*INPUTS!B12+'9 TRIALS'!K8/60/30*(INPUTS!B14/INPUTS!B15)</x:f>
        <x:v>1.8391038685926495</x:v>
      </x:c>
      <x:c r="H8" s="20" t="n">
        <x:f>'9 TRIALS'!L8/3600*INPUTS!B12+'9 TRIALS'!K8/60/60*(INPUTS!B14/INPUTS!B15)</x:f>
        <x:v>1.6879147221386406</x:v>
      </x:c>
    </x:row>
    <x:row r="9">
      <x:c r="A9" t="n">
        <x:f>'9 TRIALS'!A9</x:f>
        <x:v>5</x:v>
      </x:c>
      <x:c r="B9" s="20" t="n">
        <x:f>'9 TRIALS'!M9</x:f>
        <x:v>1.3927359123950995</x:v>
      </x:c>
      <x:c r="C9" s="20" t="n">
        <x:f>B9*INPUTS!E14</x:f>
        <x:v>2785.471824790199</x:v>
      </x:c>
      <x:c r="D9" s="20" t="n">
        <x:f>'9 TRIALS'!L9*INPUTS!E14/3600</x:f>
        <x:v>39.70501279299182</x:v>
      </x:c>
      <x:c r="E9" s="20" t="n">
        <x:f>'9 TRIALS'!K9/60/INPUTS!E15*(INPUTS!B14/INPUTS!B15)</x:f>
        <x:v>0.20158552860534507</x:v>
      </x:c>
      <x:c r="F9" s="20" t="n">
        <x:f>'9 TRIALS'!L9/3600*INPUTS!B12+'9 TRIALS'!K9/60/15*(INPUTS!B14/INPUTS!B15)</x:f>
        <x:v>1.5943214410004447</x:v>
      </x:c>
      <x:c r="G9" s="20" t="n">
        <x:f>'9 TRIALS'!L9/3600*INPUTS!B12+'9 TRIALS'!K9/60/30*(INPUTS!B14/INPUTS!B15)</x:f>
        <x:v>1.3927359123950995</x:v>
      </x:c>
      <x:c r="H9" s="20" t="n">
        <x:f>'9 TRIALS'!L9/3600*INPUTS!B12+'9 TRIALS'!K9/60/60*(INPUTS!B14/INPUTS!B15)</x:f>
        <x:v>1.291943148092427</x:v>
      </x:c>
    </x:row>
    <x:row r="10">
      <x:c r="A10" t="n">
        <x:f>'9 TRIALS'!A10</x:f>
        <x:v>6</x:v>
      </x:c>
      <x:c r="B10" s="20" t="n">
        <x:f>'9 TRIALS'!M10</x:f>
        <x:v>1.1695519342963248</x:v>
      </x:c>
      <x:c r="C10" s="20" t="n">
        <x:f>B10*INPUTS!E14</x:f>
        <x:v>2339.1038685926496</x:v>
      </x:c>
      <x:c r="D10" s="20" t="n">
        <x:f>'9 TRIALS'!L10*INPUTS!E14/3600</x:f>
        <x:v>33.94542626141053</x:v>
      </x:c>
      <x:c r="E10" s="20" t="n">
        <x:f>'9 TRIALS'!K10/60/INPUTS!E15*(INPUTS!B14/INPUTS!B15)</x:f>
        <x:v>0.1511891464540088</x:v>
      </x:c>
      <x:c r="F10" s="20" t="n">
        <x:f>'9 TRIALS'!L10/3600*INPUTS!B12+'9 TRIALS'!K10/60/15*(INPUTS!B14/INPUTS!B15)</x:f>
        <x:v>1.3207410807503337</x:v>
      </x:c>
      <x:c r="G10" s="20" t="n">
        <x:f>'9 TRIALS'!L10/3600*INPUTS!B12+'9 TRIALS'!K10/60/30*(INPUTS!B14/INPUTS!B15)</x:f>
        <x:v>1.1695519342963248</x:v>
      </x:c>
      <x:c r="H10" s="20" t="n">
        <x:f>'9 TRIALS'!L10/3600*INPUTS!B12+'9 TRIALS'!K10/60/60*(INPUTS!B14/INPUTS!B15)</x:f>
        <x:v>1.0939573610693205</x:v>
      </x:c>
    </x:row>
    <x:row r="11">
      <x:c r="A11" t="n">
        <x:f>'9 TRIALS'!A11</x:f>
        <x:v>7</x:v>
      </x:c>
      <x:c r="B11" s="20" t="n">
        <x:f>'9 TRIALS'!M11</x:f>
        <x:v>1.504327901444487</x:v>
      </x:c>
      <x:c r="C11" s="20" t="n">
        <x:f>B11*INPUTS!E14</x:f>
        <x:v>3008.655802888974</x:v>
      </x:c>
      <x:c r="D11" s="20" t="n">
        <x:f>'9 TRIALS'!L11*INPUTS!E14/3600</x:f>
        <x:v>42.58480605878246</x:v>
      </x:c>
      <x:c r="E11" s="20" t="n">
        <x:f>'9 TRIALS'!K11/60/INPUTS!E15*(INPUTS!B14/INPUTS!B15)</x:f>
        <x:v>0.2267837196810132</x:v>
      </x:c>
      <x:c r="F11" s="20" t="n">
        <x:f>'9 TRIALS'!L11/3600*INPUTS!B12+'9 TRIALS'!K11/60/15*(INPUTS!B14/INPUTS!B15)</x:f>
        <x:v>1.7311116211255002</x:v>
      </x:c>
      <x:c r="G11" s="20" t="n">
        <x:f>'9 TRIALS'!L11/3600*INPUTS!B12+'9 TRIALS'!K11/60/30*(INPUTS!B14/INPUTS!B15)</x:f>
        <x:v>1.504327901444487</x:v>
      </x:c>
      <x:c r="H11" s="20" t="n">
        <x:f>'9 TRIALS'!L11/3600*INPUTS!B12+'9 TRIALS'!K11/60/60*(INPUTS!B14/INPUTS!B15)</x:f>
        <x:v>1.3909360416039804</x:v>
      </x:c>
    </x:row>
    <x:row r="12">
      <x:c r="A12" t="n">
        <x:f>'9 TRIALS'!A12</x:f>
        <x:v>8</x:v>
      </x:c>
      <x:c r="B12" s="20" t="n">
        <x:f>'9 TRIALS'!M12</x:f>
        <x:v>1.1695519342963248</x:v>
      </x:c>
      <x:c r="C12" s="20" t="n">
        <x:f>B12*INPUTS!E14</x:f>
        <x:v>2339.1038685926496</x:v>
      </x:c>
      <x:c r="D12" s="20" t="n">
        <x:f>'9 TRIALS'!L12*INPUTS!E14/3600</x:f>
        <x:v>33.94542626141053</x:v>
      </x:c>
      <x:c r="E12" s="20" t="n">
        <x:f>'9 TRIALS'!K12/60/INPUTS!E15*(INPUTS!B14/INPUTS!B15)</x:f>
        <x:v>0.1511891464540088</x:v>
      </x:c>
      <x:c r="F12" s="20" t="n">
        <x:f>'9 TRIALS'!L12/3600*INPUTS!B12+'9 TRIALS'!K12/60/15*(INPUTS!B14/INPUTS!B15)</x:f>
        <x:v>1.3207410807503337</x:v>
      </x:c>
      <x:c r="G12" s="20" t="n">
        <x:f>'9 TRIALS'!L12/3600*INPUTS!B12+'9 TRIALS'!K12/60/30*(INPUTS!B14/INPUTS!B15)</x:f>
        <x:v>1.1695519342963248</x:v>
      </x:c>
      <x:c r="H12" s="20" t="n">
        <x:f>'9 TRIALS'!L12/3600*INPUTS!B12+'9 TRIALS'!K12/60/60*(INPUTS!B14/INPUTS!B15)</x:f>
        <x:v>1.0939573610693205</x:v>
      </x:c>
    </x:row>
    <x:row r="13">
      <x:c r="A13" t="n">
        <x:f>'9 TRIALS'!A13</x:f>
        <x:v>9</x:v>
      </x:c>
      <x:c r="B13" s="20" t="n">
        <x:f>'9 TRIALS'!M13</x:f>
        <x:v>1.0021639507222435</x:v>
      </x:c>
      <x:c r="C13" s="20" t="n">
        <x:f>B13*INPUTS!E14</x:f>
        <x:v>2004.327901444487</x:v>
      </x:c>
      <x:c r="D13" s="20" t="n">
        <x:f>'9 TRIALS'!L13*INPUTS!E14/3600</x:f>
        <x:v>29.625736362724567</x:v>
      </x:c>
      <x:c r="E13" s="20" t="n">
        <x:f>'9 TRIALS'!K13/60/INPUTS!E15*(INPUTS!B14/INPUTS!B15)</x:f>
        <x:v>0.1133918598405066</x:v>
      </x:c>
      <x:c r="F13" s="20" t="n">
        <x:f>'9 TRIALS'!L13/3600*INPUTS!B12+'9 TRIALS'!K13/60/15*(INPUTS!B14/INPUTS!B15)</x:f>
        <x:v>1.11555581056275</x:v>
      </x:c>
      <x:c r="G13" s="20" t="n">
        <x:f>'9 TRIALS'!L13/3600*INPUTS!B12+'9 TRIALS'!K13/60/30*(INPUTS!B14/INPUTS!B15)</x:f>
        <x:v>1.0021639507222435</x:v>
      </x:c>
      <x:c r="H13" s="20" t="n">
        <x:f>'9 TRIALS'!L13/3600*INPUTS!B12+'9 TRIALS'!K13/60/60*(INPUTS!B14/INPUTS!B15)</x:f>
        <x:v>0.9454680208019901</x:v>
      </x:c>
    </x:row>
    <x:row r="16">
      <x:c r="A16" t="str">
        <x:v>Tool-life values 15, 30 and 60 min are scenarios, not measurements.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DECISION MATRIX | FEASIBLE TRIALS ONLY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 ht="40" customHeight="1">
      <x:c r="A4" s="18" t="str">
        <x:v>Trial</x:v>
      </x:c>
      <x:c r="B4" s="18" t="str">
        <x:v>Ra score</x:v>
      </x:c>
      <x:c r="C4" s="18" t="str">
        <x:v>Productivity score</x:v>
      </x:c>
      <x:c r="D4" s="18" t="str">
        <x:v>Power score</x:v>
      </x:c>
      <x:c r="E4" s="18" t="str">
        <x:v>Cost score</x:v>
      </x:c>
      <x:c r="F4" s="18" t="str">
        <x:v>Weighted total</x:v>
      </x:c>
      <x:c r="G4" s="18" t="str">
        <x:v>Eligibility</x:v>
      </x:c>
      <x:c r="H4" s="18" t="str">
        <x:v>Rank</x:v>
      </x:c>
      <x:c r="J4" t="str">
        <x:v>Criterion</x:v>
      </x:c>
      <x:c r="K4" t="str">
        <x:v>Weight</x:v>
      </x:c>
    </x:row>
    <x:row r="5">
      <x:c r="A5" t="n">
        <x:f>'9 TRIALS'!A5</x:f>
        <x:v>1</x:v>
      </x:c>
      <x:c r="B5" s="26" t="n">
        <x:f>IF(MAX('9 TRIALS'!$G$5:$G$13)=MIN('9 TRIALS'!$G$5:$G$13),100,100*(MAX('9 TRIALS'!$G$5:$G$13)-'9 TRIALS'!G5)/(MAX('9 TRIALS'!$G$5:$G$13)-MIN('9 TRIALS'!$G$5:$G$13)))</x:f>
        <x:v>100</x:v>
      </x:c>
      <x:c r="C5" s="26" t="n">
        <x:f>100*'9 TRIALS'!F5/MAX('9 TRIALS'!$F$5:$F$13)</x:f>
        <x:v>25</x:v>
      </x:c>
      <x:c r="D5" s="26" t="n">
        <x:f>100*MIN('9 TRIALS'!$J$5:$J$13)/'9 TRIALS'!J5</x:f>
        <x:v>100</x:v>
      </x:c>
      <x:c r="E5" s="26" t="n">
        <x:f>100*MIN('9 TRIALS'!$M$5:$M$13)/'9 TRIALS'!M5</x:f>
        <x:v>39.94824437725371</x:v>
      </x:c>
      <x:c r="F5" s="26" t="n">
        <x:f>IF(G5="FEASIBLE",B5*$K$5+C5*$K$6+D5*$K$7+E5*$K$8,0)</x:f>
        <x:v>63.23447331317611</x:v>
      </x:c>
      <x:c r="G5" t="str">
        <x:f>'9 TRIALS'!N5</x:f>
        <x:v>FEASIBLE</x:v>
      </x:c>
      <x:c r="H5" t="n">
        <x:f>IF(G5="FEASIBLE",RANK(F5,$F$5:$F$13,0),"")</x:f>
        <x:v>4</x:v>
      </x:c>
      <x:c r="J5" t="str">
        <x:v>Ra</x:v>
      </x:c>
      <x:c r="K5" s="22" t="n">
        <x:v>0.3</x:v>
      </x:c>
    </x:row>
    <x:row r="6">
      <x:c r="A6" t="n">
        <x:f>'9 TRIALS'!A6</x:f>
        <x:v>2</x:v>
      </x:c>
      <x:c r="B6" s="26" t="n">
        <x:f>IF(MAX('9 TRIALS'!$G$5:$G$13)=MIN('9 TRIALS'!$G$5:$G$13),100,100*(MAX('9 TRIALS'!$G$5:$G$13)-'9 TRIALS'!G6)/(MAX('9 TRIALS'!$G$5:$G$13)-MIN('9 TRIALS'!$G$5:$G$13)))</x:f>
        <x:v>58.33333333333335</x:v>
      </x:c>
      <x:c r="C6" s="26" t="n">
        <x:f>100*'9 TRIALS'!F6/MAX('9 TRIALS'!$F$5:$F$13)</x:f>
        <x:v>37.5</x:v>
      </x:c>
      <x:c r="D6" s="26" t="n">
        <x:f>100*MIN('9 TRIALS'!$J$5:$J$13)/'9 TRIALS'!J6</x:f>
        <x:v>66.66666666666667</x:v>
      </x:c>
      <x:c r="E6" s="26" t="n">
        <x:f>100*MIN('9 TRIALS'!$M$5:$M$13)/'9 TRIALS'!M6</x:f>
        <x:v>54.491971216891436</x:v>
      </x:c>
      <x:c r="F6" s="26" t="n">
        <x:f>IF(G6="FEASIBLE",B6*$K$5+C6*$K$6+D6*$K$7+E6*$K$8,0)</x:f>
        <x:v>53.22259136506743</x:v>
      </x:c>
      <x:c r="G6" t="str">
        <x:f>'9 TRIALS'!N6</x:f>
        <x:v>FEASIBLE</x:v>
      </x:c>
      <x:c r="H6" t="n">
        <x:f>IF(G6="FEASIBLE",RANK(F6,$F$5:$F$13,0),"")</x:f>
        <x:v>7</x:v>
      </x:c>
      <x:c r="J6" t="str">
        <x:v>Productivity</x:v>
      </x:c>
      <x:c r="K6" s="22" t="n">
        <x:v>0.25</x:v>
      </x:c>
    </x:row>
    <x:row r="7">
      <x:c r="A7" t="n">
        <x:f>'9 TRIALS'!A7</x:f>
        <x:v>3</x:v>
      </x:c>
      <x:c r="B7" s="26" t="n">
        <x:f>IF(MAX('9 TRIALS'!$G$5:$G$13)=MIN('9 TRIALS'!$G$5:$G$13),100,100*(MAX('9 TRIALS'!$G$5:$G$13)-'9 TRIALS'!G7)/(MAX('9 TRIALS'!$G$5:$G$13)-MIN('9 TRIALS'!$G$5:$G$13)))</x:f>
        <x:v>0</x:v>
      </x:c>
      <x:c r="C7" s="26" t="n">
        <x:f>100*'9 TRIALS'!F7/MAX('9 TRIALS'!$F$5:$F$13)</x:f>
        <x:v>50</x:v>
      </x:c>
      <x:c r="D7" s="26" t="n">
        <x:f>100*MIN('9 TRIALS'!$J$5:$J$13)/'9 TRIALS'!J7</x:f>
        <x:v>50</x:v>
      </x:c>
      <x:c r="E7" s="26" t="n">
        <x:f>100*MIN('9 TRIALS'!$M$5:$M$13)/'9 TRIALS'!M7</x:f>
        <x:v>66.61871721982585</x:v>
      </x:c>
      <x:c r="F7" s="26" t="n">
        <x:f>IF(G7="FEASIBLE",B7*$K$5+C7*$K$6+D7*$K$7+E7*$K$8,0)</x:f>
        <x:v>39.985615165947756</x:v>
      </x:c>
      <x:c r="G7" t="str">
        <x:f>'9 TRIALS'!N7</x:f>
        <x:v>FEASIBLE</x:v>
      </x:c>
      <x:c r="H7" t="n">
        <x:f>IF(G7="FEASIBLE",RANK(F7,$F$5:$F$13,0),"")</x:f>
        <x:v>9</x:v>
      </x:c>
      <x:c r="J7" t="str">
        <x:v>Power</x:v>
      </x:c>
      <x:c r="K7" s="22" t="n">
        <x:v>0.15</x:v>
      </x:c>
    </x:row>
    <x:row r="8">
      <x:c r="A8" t="n">
        <x:f>'9 TRIALS'!A8</x:f>
        <x:v>4</x:v>
      </x:c>
      <x:c r="B8" s="26" t="n">
        <x:f>IF(MAX('9 TRIALS'!$G$5:$G$13)=MIN('9 TRIALS'!$G$5:$G$13),100,100*(MAX('9 TRIALS'!$G$5:$G$13)-'9 TRIALS'!G8)/(MAX('9 TRIALS'!$G$5:$G$13)-MIN('9 TRIALS'!$G$5:$G$13)))</x:f>
        <x:v>100</x:v>
      </x:c>
      <x:c r="C8" s="26" t="n">
        <x:f>100*'9 TRIALS'!F8/MAX('9 TRIALS'!$F$5:$F$13)</x:f>
        <x:v>37.5</x:v>
      </x:c>
      <x:c r="D8" s="26" t="n">
        <x:f>100*MIN('9 TRIALS'!$J$5:$J$13)/'9 TRIALS'!J8</x:f>
        <x:v>66.66666666666667</x:v>
      </x:c>
      <x:c r="E8" s="26" t="n">
        <x:f>100*MIN('9 TRIALS'!$M$5:$M$13)/'9 TRIALS'!M8</x:f>
        <x:v>54.491971216891436</x:v>
      </x:c>
      <x:c r="F8" s="26" t="n">
        <x:f>IF(G8="FEASIBLE",B8*$K$5+C8*$K$6+D8*$K$7+E8*$K$8,0)</x:f>
        <x:v>65.72259136506743</x:v>
      </x:c>
      <x:c r="G8" t="str">
        <x:f>'9 TRIALS'!N8</x:f>
        <x:v>FEASIBLE</x:v>
      </x:c>
      <x:c r="H8" t="n">
        <x:f>IF(G8="FEASIBLE",RANK(F8,$F$5:$F$13,0),"")</x:f>
        <x:v>3</x:v>
      </x:c>
      <x:c r="J8" t="str">
        <x:v>Cost</x:v>
      </x:c>
      <x:c r="K8" s="22" t="n">
        <x:v>0.3</x:v>
      </x:c>
    </x:row>
    <x:row r="9">
      <x:c r="A9" t="n">
        <x:f>'9 TRIALS'!A9</x:f>
        <x:v>5</x:v>
      </x:c>
      <x:c r="B9" s="26" t="n">
        <x:f>IF(MAX('9 TRIALS'!$G$5:$G$13)=MIN('9 TRIALS'!$G$5:$G$13),100,100*(MAX('9 TRIALS'!$G$5:$G$13)-'9 TRIALS'!G9)/(MAX('9 TRIALS'!$G$5:$G$13)-MIN('9 TRIALS'!$G$5:$G$13)))</x:f>
        <x:v>58.33333333333335</x:v>
      </x:c>
      <x:c r="C9" s="26" t="n">
        <x:f>100*'9 TRIALS'!F9/MAX('9 TRIALS'!$F$5:$F$13)</x:f>
        <x:v>56.25</x:v>
      </x:c>
      <x:c r="D9" s="26" t="n">
        <x:f>100*MIN('9 TRIALS'!$J$5:$J$13)/'9 TRIALS'!J9</x:f>
        <x:v>44.44444444444444</x:v>
      </x:c>
      <x:c r="E9" s="26" t="n">
        <x:f>100*MIN('9 TRIALS'!$M$5:$M$13)/'9 TRIALS'!M9</x:f>
        <x:v>71.95649525535777</x:v>
      </x:c>
      <x:c r="F9" s="26" t="n">
        <x:f>IF(G9="FEASIBLE",B9*$K$5+C9*$K$6+D9*$K$7+E9*$K$8,0)</x:f>
        <x:v>59.816115243274</x:v>
      </x:c>
      <x:c r="G9" t="str">
        <x:f>'9 TRIALS'!N9</x:f>
        <x:v>FEASIBLE</x:v>
      </x:c>
      <x:c r="H9" t="n">
        <x:f>IF(G9="FEASIBLE",RANK(F9,$F$5:$F$13,0),"")</x:f>
        <x:v>5</x:v>
      </x:c>
    </x:row>
    <x:row r="10">
      <x:c r="A10" t="n">
        <x:f>'9 TRIALS'!A10</x:f>
        <x:v>6</x:v>
      </x:c>
      <x:c r="B10" s="26" t="n">
        <x:f>IF(MAX('9 TRIALS'!$G$5:$G$13)=MIN('9 TRIALS'!$G$5:$G$13),100,100*(MAX('9 TRIALS'!$G$5:$G$13)-'9 TRIALS'!G10)/(MAX('9 TRIALS'!$G$5:$G$13)-MIN('9 TRIALS'!$G$5:$G$13)))</x:f>
        <x:v>0</x:v>
      </x:c>
      <x:c r="C10" s="26" t="n">
        <x:f>100*'9 TRIALS'!F10/MAX('9 TRIALS'!$F$5:$F$13)</x:f>
        <x:v>75</x:v>
      </x:c>
      <x:c r="D10" s="26" t="n">
        <x:f>100*MIN('9 TRIALS'!$J$5:$J$13)/'9 TRIALS'!J10</x:f>
        <x:v>33.333333333333336</x:v>
      </x:c>
      <x:c r="E10" s="26" t="n">
        <x:f>100*MIN('9 TRIALS'!$M$5:$M$13)/'9 TRIALS'!M10</x:f>
        <x:v>85.68785372709488</x:v>
      </x:c>
      <x:c r="F10" s="26" t="n">
        <x:f>IF(G10="FEASIBLE",B10*$K$5+C10*$K$6+D10*$K$7+E10*$K$8,0)</x:f>
        <x:v>49.45635611812846</x:v>
      </x:c>
      <x:c r="G10" t="str">
        <x:f>'9 TRIALS'!N10</x:f>
        <x:v>FEASIBLE</x:v>
      </x:c>
      <x:c r="H10" t="n">
        <x:f>IF(G10="FEASIBLE",RANK(F10,$F$5:$F$13,0),"")</x:f>
        <x:v>8</x:v>
      </x:c>
      <x:c r="J10" t="str">
        <x:v>Weight total</x:v>
      </x:c>
      <x:c r="K10" s="24" t="n">
        <x:f>SUM(K5:K8)</x:f>
        <x:v>1</x:v>
      </x:c>
    </x:row>
    <x:row r="11">
      <x:c r="A11" t="n">
        <x:f>'9 TRIALS'!A11</x:f>
        <x:v>7</x:v>
      </x:c>
      <x:c r="B11" s="26" t="n">
        <x:f>IF(MAX('9 TRIALS'!$G$5:$G$13)=MIN('9 TRIALS'!$G$5:$G$13),100,100*(MAX('9 TRIALS'!$G$5:$G$13)-'9 TRIALS'!G11)/(MAX('9 TRIALS'!$G$5:$G$13)-MIN('9 TRIALS'!$G$5:$G$13)))</x:f>
        <x:v>100</x:v>
      </x:c>
      <x:c r="C11" s="26" t="n">
        <x:f>100*'9 TRIALS'!F11/MAX('9 TRIALS'!$F$5:$F$13)</x:f>
        <x:v>50</x:v>
      </x:c>
      <x:c r="D11" s="26" t="n">
        <x:f>100*MIN('9 TRIALS'!$J$5:$J$13)/'9 TRIALS'!J11</x:f>
        <x:v>50</x:v>
      </x:c>
      <x:c r="E11" s="26" t="n">
        <x:f>100*MIN('9 TRIALS'!$M$5:$M$13)/'9 TRIALS'!M11</x:f>
        <x:v>66.61871721982585</x:v>
      </x:c>
      <x:c r="F11" s="26" t="n">
        <x:f>IF(G11="FEASIBLE",B11*$K$5+C11*$K$6+D11*$K$7+E11*$K$8,0)</x:f>
        <x:v>69.98561516594776</x:v>
      </x:c>
      <x:c r="G11" t="str">
        <x:f>'9 TRIALS'!N11</x:f>
        <x:v>FEASIBLE</x:v>
      </x:c>
      <x:c r="H11" t="n">
        <x:f>IF(G11="FEASIBLE",RANK(F11,$F$5:$F$13,0),"")</x:f>
        <x:v>1</x:v>
      </x:c>
    </x:row>
    <x:row r="12">
      <x:c r="A12" t="n">
        <x:f>'9 TRIALS'!A12</x:f>
        <x:v>8</x:v>
      </x:c>
      <x:c r="B12" s="26" t="n">
        <x:f>IF(MAX('9 TRIALS'!$G$5:$G$13)=MIN('9 TRIALS'!$G$5:$G$13),100,100*(MAX('9 TRIALS'!$G$5:$G$13)-'9 TRIALS'!G12)/(MAX('9 TRIALS'!$G$5:$G$13)-MIN('9 TRIALS'!$G$5:$G$13)))</x:f>
        <x:v>58.33333333333335</x:v>
      </x:c>
      <x:c r="C12" s="26" t="n">
        <x:f>100*'9 TRIALS'!F12/MAX('9 TRIALS'!$F$5:$F$13)</x:f>
        <x:v>75</x:v>
      </x:c>
      <x:c r="D12" s="26" t="n">
        <x:f>100*MIN('9 TRIALS'!$J$5:$J$13)/'9 TRIALS'!J12</x:f>
        <x:v>33.333333333333336</x:v>
      </x:c>
      <x:c r="E12" s="26" t="n">
        <x:f>100*MIN('9 TRIALS'!$M$5:$M$13)/'9 TRIALS'!M12</x:f>
        <x:v>85.68785372709488</x:v>
      </x:c>
      <x:c r="F12" s="26" t="n">
        <x:f>IF(G12="FEASIBLE",B12*$K$5+C12*$K$6+D12*$K$7+E12*$K$8,0)</x:f>
        <x:v>66.95635611812847</x:v>
      </x:c>
      <x:c r="G12" t="str">
        <x:f>'9 TRIALS'!N12</x:f>
        <x:v>FEASIBLE</x:v>
      </x:c>
      <x:c r="H12" t="n">
        <x:f>IF(G12="FEASIBLE",RANK(F12,$F$5:$F$13,0),"")</x:f>
        <x:v>2</x:v>
      </x:c>
      <x:c r="J12" t="str">
        <x:v>Scoring: 0–100, normalised across nine trials. Higher is better.</x:v>
      </x:c>
    </x:row>
    <x:row r="13">
      <x:c r="A13" t="n">
        <x:f>'9 TRIALS'!A13</x:f>
        <x:v>9</x:v>
      </x:c>
      <x:c r="B13" s="26" t="n">
        <x:f>IF(MAX('9 TRIALS'!$G$5:$G$13)=MIN('9 TRIALS'!$G$5:$G$13),100,100*(MAX('9 TRIALS'!$G$5:$G$13)-'9 TRIALS'!G13)/(MAX('9 TRIALS'!$G$5:$G$13)-MIN('9 TRIALS'!$G$5:$G$13)))</x:f>
        <x:v>0</x:v>
      </x:c>
      <x:c r="C13" s="26" t="n">
        <x:f>100*'9 TRIALS'!F13/MAX('9 TRIALS'!$F$5:$F$13)</x:f>
        <x:v>100</x:v>
      </x:c>
      <x:c r="D13" s="26" t="n">
        <x:f>100*MIN('9 TRIALS'!$J$5:$J$13)/'9 TRIALS'!J13</x:f>
        <x:v>25</x:v>
      </x:c>
      <x:c r="E13" s="26" t="n">
        <x:f>100*MIN('9 TRIALS'!$M$5:$M$13)/'9 TRIALS'!M13</x:f>
        <x:v>100</x:v>
      </x:c>
      <x:c r="F13" s="26" t="n">
        <x:f>IF(G13="FEASIBLE",B13*$K$5+C13*$K$6+D13*$K$7+E13*$K$8,0)</x:f>
        <x:v>58.75</x:v>
      </x:c>
      <x:c r="G13" t="str">
        <x:f>'9 TRIALS'!N13</x:f>
        <x:v>FEASIBLE</x:v>
      </x:c>
      <x:c r="H13" t="n">
        <x:f>IF(G13="FEASIBLE",RANK(F13,$F$5:$F$13,0),"")</x:f>
        <x:v>6</x:v>
      </x:c>
    </x:row>
    <x:row r="15">
      <x:c r="J15" t="str">
        <x:v>Best feasible trial</x:v>
      </x:c>
      <x:c r="K15" t="n">
        <x:f>IF(COUNTIF(G5:G13,"FEASIBLE")=0,"NONE",INDEX(A5:A13,MATCH(MAX(F5:F13),F5:F13,0)))</x:f>
        <x:v>7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AUTO-UPDATING CHARTS | NINE TRIALS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bd2ccb42aa77442f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STUDENT ANALYSIS | COMPLETE IN YOUR OWN WORDS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>
      <x:c r="A4" t="str">
        <x:v>SECTION</x:v>
      </x:c>
      <x:c r="B4" t="str">
        <x:v>STUDENT RESPONSE</x:v>
      </x:c>
    </x:row>
    <x:row r="5" ht="52" customHeight="1">
      <x:c r="A5" t="str">
        <x:v>Group / members</x:v>
      </x:c>
      <x:c r="B5" s="28" t="str"/>
    </x:row>
    <x:row r="6" ht="52" customHeight="1">
      <x:c r="A6" t="str">
        <x:v>Problem statement</x:v>
      </x:c>
      <x:c r="B6" s="28" t="str"/>
    </x:row>
    <x:row r="7" ht="52" customHeight="1">
      <x:c r="A7" t="str">
        <x:v>Model assumptions</x:v>
      </x:c>
      <x:c r="B7" s="28" t="str"/>
    </x:row>
    <x:row r="8" ht="52" customHeight="1">
      <x:c r="A8" t="str">
        <x:v>Effect of feed on Ra</x:v>
      </x:c>
      <x:c r="B8" s="28" t="str"/>
    </x:row>
    <x:row r="9" ht="52" customHeight="1">
      <x:c r="A9" t="str">
        <x:v>Effect of speed on MRR</x:v>
      </x:c>
      <x:c r="B9" s="28" t="str"/>
    </x:row>
    <x:row r="10" ht="52" customHeight="1">
      <x:c r="A10" t="str">
        <x:v>Cutting power interpretation</x:v>
      </x:c>
      <x:c r="B10" s="28" t="str"/>
    </x:row>
    <x:row r="11" ht="52" customHeight="1">
      <x:c r="A11" t="str">
        <x:v>Cost and tool life interpretation</x:v>
      </x:c>
      <x:c r="B11" s="28" t="str"/>
    </x:row>
    <x:row r="12" ht="52" customHeight="1">
      <x:c r="A12" t="str">
        <x:v>Recommended trial and reasons</x:v>
      </x:c>
      <x:c r="B12" s="28" t="str"/>
    </x:row>
    <x:row r="13" ht="52" customHeight="1">
      <x:c r="A13" t="str">
        <x:v>Limitations / validation plan</x:v>
      </x:c>
      <x:c r="B13" s="28" t="str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MODEL ASSUMPTIONS AND REFERENCE GUIDANCE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4">
      <x:c r="A4" t="str">
        <x:v>MODEL</x:v>
      </x:c>
      <x:c r="B4" t="str">
        <x:v>INTERPRETATION</x:v>
      </x:c>
    </x:row>
    <x:row r="5">
      <x:c r="A5" t="str">
        <x:v>Spindle speed</x:v>
      </x:c>
      <x:c r="B5" t="str">
        <x:v>N = 1000 Vc / (pi * mean D)</x:v>
      </x:c>
    </x:row>
    <x:row r="6">
      <x:c r="A6" t="str">
        <x:v>MRR</x:v>
      </x:c>
      <x:c r="B6" t="str">
        <x:v>MRR = 1000 Vc * f * ap</x:v>
      </x:c>
    </x:row>
    <x:row r="7">
      <x:c r="A7" t="str">
        <x:v>Ideal Ra</x:v>
      </x:c>
      <x:c r="B7" t="str">
        <x:v>Ra = 1000 f^2 / (32 * nose radius)</x:v>
      </x:c>
    </x:row>
    <x:row r="8">
      <x:c r="A8" t="str">
        <x:v>Force</x:v>
      </x:c>
      <x:c r="B8" t="str">
        <x:v>Fc = kc * ap * f, constant kc simplified</x:v>
      </x:c>
    </x:row>
    <x:row r="9">
      <x:c r="A9" t="str">
        <x:v>Power</x:v>
      </x:c>
      <x:c r="B9" t="str">
        <x:v>Pc = Fc * Vc / 60000; input power = Pc / efficiency</x:v>
      </x:c>
    </x:row>
    <x:row r="10">
      <x:c r="A10" t="str">
        <x:v>Time</x:v>
      </x:c>
      <x:c r="B10" t="str">
        <x:v>Cutting time = 60 L / (f * RPM)</x:v>
      </x:c>
    </x:row>
    <x:row r="11">
      <x:c r="A11" t="str">
        <x:v>Cost</x:v>
      </x:c>
      <x:c r="B11" t="str">
        <x:v>Machine cycle cost + prorated tool edge cost</x:v>
      </x:c>
    </x:row>
    <x:row r="12">
      <x:c r="A12" t="str">
        <x:v>Important</x:v>
      </x:c>
      <x:c r="B12" t="str">
        <x:v>No actual tool wear, chip shape, temperature or measured Ra prediction</x:v>
      </x:c>
    </x:row>
    <x:row r="15">
      <x:c r="A15" t="str">
        <x:v>SOURCE</x:v>
      </x:c>
      <x:c r="B15" t="str">
        <x:v>REFERENCE GUIDANCE</x:v>
      </x:c>
    </x:row>
    <x:row r="16">
      <x:c r="A16" t="str">
        <x:v>Equations</x:v>
      </x:c>
      <x:c r="B16" t="str">
        <x:v>Machining textbooks / manufacturer technical references; students cite selected sources</x:v>
      </x:c>
    </x:row>
    <x:row r="17">
      <x:c r="A17" t="str">
        <x:v>Specific cutting force</x:v>
      </x:c>
      <x:c r="B17" t="str">
        <x:v>Illustrative 1800 N/mm2. Replace with supported source for chosen tool/material.</x:v>
      </x:c>
    </x:row>
    <x:row r="18">
      <x:c r="A18" t="str">
        <x:v>Tool life</x:v>
      </x:c>
      <x:c r="B18" t="str">
        <x:v>Assumed scenario, not measured or derived from a tool-life model.</x:v>
      </x:c>
    </x:row>
  </x:sheetData>
  <x:mergeCells>
    <x:mergeCell ref="A1:N1"/>
  </x:mergeCells>
  <x:pageMargins left="0.7" right="0.7" top="0.75" bottom="0.75" header="0.3" footer="0.3"/>
</x:worksheet>
</file>